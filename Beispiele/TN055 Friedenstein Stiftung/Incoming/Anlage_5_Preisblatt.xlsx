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Vergabe\01_Open Friedenstein!\03_Laufende Vergaben\Relaunch_Webseite\01_Teilnahmewettbewerb\2_Aufschlag\"/>
    </mc:Choice>
  </mc:AlternateContent>
  <xr:revisionPtr revIDLastSave="0" documentId="13_ncr:1_{E8E04974-BB34-46F3-8C7B-6FC9A7530D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isbla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5" i="1"/>
  <c r="G34" i="1" l="1"/>
  <c r="G14" i="1"/>
  <c r="G31" i="1"/>
  <c r="F31" i="1"/>
  <c r="F32" i="1"/>
  <c r="G22" i="1"/>
  <c r="G32" i="1"/>
  <c r="G15" i="1"/>
  <c r="G16" i="1"/>
  <c r="G17" i="1"/>
  <c r="G18" i="1"/>
  <c r="G19" i="1"/>
  <c r="G20" i="1"/>
  <c r="G21" i="1"/>
  <c r="G23" i="1"/>
  <c r="G24" i="1"/>
  <c r="G25" i="1"/>
</calcChain>
</file>

<file path=xl/sharedStrings.xml><?xml version="1.0" encoding="utf-8"?>
<sst xmlns="http://schemas.openxmlformats.org/spreadsheetml/2006/main" count="54" uniqueCount="48">
  <si>
    <t>Relaunch der Webseite der Friedenstein Stiftung Gotha</t>
  </si>
  <si>
    <t>Die detaillierten Anforderungen zu den einzelnen Positionen ergeben sich aus der zu Grunde liegenden Leistungsbeschreibung (Anlage 1).</t>
  </si>
  <si>
    <t>Die grün hinterlegten Felder sind durch den Bieter zu befüllen.</t>
  </si>
  <si>
    <t>Alle Preise verstehen sich in Euro, netto inkl. aller Nebenkosten (Anreise, Zuschläge, etc.).</t>
  </si>
  <si>
    <t>Name und Anschrift des Bieters</t>
  </si>
  <si>
    <t>Pos.</t>
  </si>
  <si>
    <t>Leistung</t>
  </si>
  <si>
    <t>Anzahl Personentage</t>
  </si>
  <si>
    <t>Kosten pro Personentag in EUR (netto)</t>
  </si>
  <si>
    <t>Gesamtpreis in EUR (netto)</t>
  </si>
  <si>
    <t>1</t>
  </si>
  <si>
    <r>
      <t xml:space="preserve">Projektmanagement </t>
    </r>
    <r>
      <rPr>
        <sz val="10"/>
        <color theme="1"/>
        <rFont val="Arial"/>
        <family val="2"/>
      </rPr>
      <t>(regelmäßige Abstimmung mit der AG, Koordination der Zusammenarbeit mit der FSG, Aufstellung und laufende Anpassung des Projektplans, internes Projektmanagement und Projektsteuerung, Überblick der Einhaltung des Projektplans im vorgegebenen Zeit- und Kostenrahmen)</t>
    </r>
  </si>
  <si>
    <t>2</t>
  </si>
  <si>
    <t>Entwicklung Design und Gestaltung (UI/UX)</t>
  </si>
  <si>
    <t xml:space="preserve">Technische Umsetzung / Webentwicklung </t>
  </si>
  <si>
    <t>Funktionale Integration</t>
  </si>
  <si>
    <t>5.1.</t>
  </si>
  <si>
    <t>Implementierung von Mehrsprachigkeit und Barrierefreiheit</t>
  </si>
  <si>
    <t>5.2.</t>
  </si>
  <si>
    <t>Ticketing- und Bezahlsysteme</t>
  </si>
  <si>
    <t>5.3.</t>
  </si>
  <si>
    <t>Entwicklung eines internen Dashboards</t>
  </si>
  <si>
    <t>Launch und Nacharbeiten</t>
  </si>
  <si>
    <r>
      <rPr>
        <b/>
        <sz val="10"/>
        <color rgb="FF000000"/>
        <rFont val="Arial"/>
        <family val="2"/>
      </rPr>
      <t xml:space="preserve">Testing und Qualitätssicherung </t>
    </r>
    <r>
      <rPr>
        <sz val="10"/>
        <color rgb="FF000000"/>
        <rFont val="Arial"/>
        <family val="2"/>
      </rPr>
      <t>(einschl. Optimierung und Fehlerbehebung)</t>
    </r>
  </si>
  <si>
    <t>Dokumentation</t>
  </si>
  <si>
    <t xml:space="preserve">Einheit </t>
  </si>
  <si>
    <t xml:space="preserve">Kosten pro Jahr </t>
  </si>
  <si>
    <t>Kosten für vier Jahre</t>
  </si>
  <si>
    <t>Hosting</t>
  </si>
  <si>
    <t>pauschal</t>
  </si>
  <si>
    <t>Stundensatz in EUR (netto)</t>
  </si>
  <si>
    <t>Gesamtpreis pro Jahr in EUR (netto)</t>
  </si>
  <si>
    <t>Gesamtkosten für vier Jahre in EUR (netto)</t>
  </si>
  <si>
    <r>
      <rPr>
        <b/>
        <sz val="10"/>
        <color rgb="FF000000"/>
        <rFont val="Arial"/>
        <family val="2"/>
      </rPr>
      <t xml:space="preserve">Wartung und Support </t>
    </r>
    <r>
      <rPr>
        <sz val="10"/>
        <color rgb="FF000000"/>
        <rFont val="Arial"/>
        <family val="2"/>
      </rPr>
      <t xml:space="preserve">(Die Preisberechnung erfolgt aufgrund der Wartungsintensität von </t>
    </r>
    <r>
      <rPr>
        <b/>
        <sz val="10"/>
        <color rgb="FF000000"/>
        <rFont val="Arial"/>
        <family val="2"/>
      </rPr>
      <t>maximal 300 Stunden</t>
    </r>
    <r>
      <rPr>
        <sz val="10"/>
        <color rgb="FF000000"/>
        <rFont val="Arial"/>
        <family val="2"/>
      </rPr>
      <t xml:space="preserve"> im Jahr; Die Preisermittlung dient der Vergleichbarkeit der Angebote; die Abrechnung erfolgt nach dem tatsächlichen Aufwand an Wartungsleistungen aufgrund des angegebenen Stundensatzes)</t>
    </r>
  </si>
  <si>
    <t xml:space="preserve">
</t>
  </si>
  <si>
    <t>Gesamtbetrag in EUR (netto)</t>
  </si>
  <si>
    <t>zzgl. Mehrwertsteuer (19 %)</t>
  </si>
  <si>
    <t>wertungsrelevanter Gesamtpreis (brutto)</t>
  </si>
  <si>
    <t xml:space="preserve">                                                                                                                                                    </t>
  </si>
  <si>
    <t>Ort, Datum</t>
  </si>
  <si>
    <t>Name der natürlichen Person, die die Erklärung abgibt</t>
  </si>
  <si>
    <r>
      <t xml:space="preserve">Mitarbeiter:innenschulungen </t>
    </r>
    <r>
      <rPr>
        <sz val="10"/>
        <color rgb="FF000000"/>
        <rFont val="Arial"/>
        <family val="2"/>
      </rPr>
      <t>(Bitte geben Sie die Kosten für sechs Schulungen á120 Min. pauschal an.)</t>
    </r>
  </si>
  <si>
    <t>Konzeptionsphase (inkl. Workshops)</t>
  </si>
  <si>
    <t xml:space="preserve">Eine entsprechende Übersicht über die jeweilige Kostenkalkulation ist auf Verlangen des AG nachzureichen. </t>
  </si>
  <si>
    <t>Wir haben zur Kenntnis genommen, dass die angegebenen Preise alle Aufwendungen (insbesondere Reise- und Sachkosten) abdecken müssen.</t>
  </si>
  <si>
    <r>
      <t xml:space="preserve">Weiterentwicklung </t>
    </r>
    <r>
      <rPr>
        <sz val="10"/>
        <color theme="1"/>
        <rFont val="Arial"/>
        <family val="2"/>
      </rPr>
      <t>(Für die kontinierliche Weiterentwicklung der Webseite gem. Ziff. 3.9.7 der Leistungsbeschreibung werden maximal 100 Stunden im Jahr angenommen. Die Entwicklung und Umsetzung werden von der Auftraggerin separat beauftragt.)</t>
    </r>
  </si>
  <si>
    <t>Eine nachträgliche Abrechnung ist nicht möglich.</t>
  </si>
  <si>
    <t xml:space="preserve">Die Abrechnung erfolgt anhand des pauschalen Angebotspreises zu den unterschiedlichen Positionen. Die Pauschalen errechnen sich aufgrund der anzunehmenden Personentage und der Kosten pro Personentag.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</si>
</sst>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3" fillId="3" borderId="1" xfId="0" applyFont="1" applyFill="1" applyBorder="1" applyProtection="1">
      <protection locked="0"/>
    </xf>
    <xf numFmtId="0" fontId="3" fillId="3" borderId="2" xfId="0" applyFont="1" applyFill="1" applyBorder="1" applyProtection="1">
      <protection locked="0"/>
    </xf>
    <xf numFmtId="0" fontId="4" fillId="4" borderId="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4" borderId="0" xfId="0" applyFont="1" applyFill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Protection="1">
      <protection locked="0"/>
    </xf>
    <xf numFmtId="164" fontId="4" fillId="4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4" borderId="3" xfId="0" applyNumberFormat="1" applyFont="1" applyFill="1" applyBorder="1" applyAlignment="1" applyProtection="1">
      <alignment horizontal="center" vertical="center" wrapText="1"/>
      <protection locked="0"/>
    </xf>
    <xf numFmtId="164" fontId="3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164" fontId="7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7" fillId="5" borderId="3" xfId="0" applyNumberFormat="1" applyFont="1" applyFill="1" applyBorder="1" applyAlignment="1">
      <alignment horizontal="center" vertical="center"/>
    </xf>
    <xf numFmtId="0" fontId="3" fillId="4" borderId="0" xfId="0" applyFont="1" applyFill="1" applyProtection="1">
      <protection locked="0"/>
    </xf>
    <xf numFmtId="0" fontId="0" fillId="3" borderId="1" xfId="0" applyFill="1" applyBorder="1"/>
    <xf numFmtId="0" fontId="3" fillId="4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view="pageLayout" topLeftCell="A17" zoomScaleNormal="100" workbookViewId="0">
      <selection activeCell="E24" sqref="E24"/>
    </sheetView>
  </sheetViews>
  <sheetFormatPr baseColWidth="10" defaultColWidth="11.42578125" defaultRowHeight="15" x14ac:dyDescent="0.25"/>
  <cols>
    <col min="1" max="1" width="6.140625" customWidth="1"/>
    <col min="2" max="2" width="35" customWidth="1"/>
    <col min="3" max="3" width="11.140625" customWidth="1"/>
    <col min="4" max="4" width="16" customWidth="1"/>
    <col min="5" max="5" width="16.5703125" customWidth="1"/>
    <col min="6" max="6" width="23.140625" customWidth="1"/>
    <col min="7" max="7" width="21.140625" customWidth="1"/>
  </cols>
  <sheetData>
    <row r="1" spans="1:8" ht="9.75" customHeight="1" x14ac:dyDescent="0.25"/>
    <row r="2" spans="1:8" ht="36.75" customHeight="1" x14ac:dyDescent="0.25">
      <c r="A2" s="48" t="s">
        <v>0</v>
      </c>
      <c r="B2" s="48"/>
      <c r="C2" s="48"/>
      <c r="D2" s="48"/>
      <c r="E2" s="48"/>
      <c r="F2" s="48"/>
      <c r="G2" s="48"/>
      <c r="H2" s="48"/>
    </row>
    <row r="3" spans="1:8" ht="9.75" customHeight="1" x14ac:dyDescent="0.25">
      <c r="A3" s="1"/>
    </row>
    <row r="4" spans="1:8" x14ac:dyDescent="0.25">
      <c r="A4" s="2" t="s">
        <v>1</v>
      </c>
      <c r="B4" s="2"/>
      <c r="C4" s="2"/>
      <c r="D4" s="2"/>
      <c r="E4" s="2"/>
      <c r="F4" s="2"/>
      <c r="G4" s="2"/>
      <c r="H4" s="2"/>
    </row>
    <row r="5" spans="1:8" x14ac:dyDescent="0.25">
      <c r="A5" s="47" t="s">
        <v>2</v>
      </c>
      <c r="B5" s="47"/>
      <c r="C5" s="47"/>
      <c r="D5" s="47"/>
      <c r="E5" s="47"/>
      <c r="F5" s="2"/>
      <c r="G5" s="2"/>
      <c r="H5" s="2"/>
    </row>
    <row r="6" spans="1:8" x14ac:dyDescent="0.25">
      <c r="A6" s="2" t="s">
        <v>3</v>
      </c>
      <c r="B6" s="2"/>
      <c r="C6" s="2"/>
      <c r="D6" s="2"/>
      <c r="E6" s="2"/>
      <c r="F6" s="2"/>
      <c r="G6" s="2"/>
      <c r="H6" s="2"/>
    </row>
    <row r="7" spans="1:8" ht="30.75" customHeight="1" x14ac:dyDescent="0.25">
      <c r="A7" s="49" t="s">
        <v>47</v>
      </c>
      <c r="B7" s="49"/>
      <c r="C7" s="49"/>
      <c r="D7" s="49"/>
      <c r="E7" s="49"/>
      <c r="F7" s="49"/>
      <c r="G7" s="49"/>
      <c r="H7" s="49"/>
    </row>
    <row r="8" spans="1:8" ht="18" customHeight="1" x14ac:dyDescent="0.25">
      <c r="A8" s="3" t="s">
        <v>4</v>
      </c>
      <c r="B8" s="3"/>
      <c r="C8" s="4"/>
      <c r="D8" s="4"/>
      <c r="E8" s="4"/>
      <c r="F8" s="2"/>
      <c r="G8" s="2"/>
      <c r="H8" s="2"/>
    </row>
    <row r="9" spans="1:8" x14ac:dyDescent="0.25">
      <c r="A9" s="5"/>
      <c r="B9" s="5"/>
      <c r="C9" s="2"/>
      <c r="D9" s="2"/>
      <c r="E9" s="2"/>
      <c r="F9" s="2"/>
      <c r="G9" s="2"/>
      <c r="H9" s="2"/>
    </row>
    <row r="10" spans="1:8" x14ac:dyDescent="0.25">
      <c r="A10" s="6"/>
      <c r="B10" s="6"/>
      <c r="C10" s="2"/>
      <c r="D10" s="2"/>
      <c r="E10" s="2"/>
      <c r="F10" s="2"/>
      <c r="G10" s="2"/>
      <c r="H10" s="2"/>
    </row>
    <row r="11" spans="1:8" x14ac:dyDescent="0.25">
      <c r="A11" s="6"/>
      <c r="B11" s="6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ht="36.75" customHeight="1" x14ac:dyDescent="0.25">
      <c r="A13" s="14" t="s">
        <v>5</v>
      </c>
      <c r="B13" s="50" t="s">
        <v>6</v>
      </c>
      <c r="C13" s="51"/>
      <c r="D13" s="52"/>
      <c r="E13" s="15" t="s">
        <v>7</v>
      </c>
      <c r="F13" s="15" t="s">
        <v>8</v>
      </c>
      <c r="G13" s="15" t="s">
        <v>9</v>
      </c>
      <c r="H13" s="2"/>
    </row>
    <row r="14" spans="1:8" ht="65.25" customHeight="1" x14ac:dyDescent="0.25">
      <c r="A14" s="16" t="s">
        <v>10</v>
      </c>
      <c r="B14" s="34" t="s">
        <v>11</v>
      </c>
      <c r="C14" s="35"/>
      <c r="D14" s="36"/>
      <c r="E14" s="24"/>
      <c r="F14" s="23">
        <v>0</v>
      </c>
      <c r="G14" s="21">
        <f>E14*F14</f>
        <v>0</v>
      </c>
      <c r="H14" s="2"/>
    </row>
    <row r="15" spans="1:8" ht="30.75" customHeight="1" x14ac:dyDescent="0.25">
      <c r="A15" s="16" t="s">
        <v>12</v>
      </c>
      <c r="B15" s="34" t="s">
        <v>42</v>
      </c>
      <c r="C15" s="35"/>
      <c r="D15" s="36"/>
      <c r="E15" s="24"/>
      <c r="F15" s="23">
        <v>0</v>
      </c>
      <c r="G15" s="21">
        <f t="shared" ref="G15:G25" si="0">E15*F15</f>
        <v>0</v>
      </c>
      <c r="H15" s="2"/>
    </row>
    <row r="16" spans="1:8" ht="27.75" customHeight="1" x14ac:dyDescent="0.25">
      <c r="A16" s="8">
        <v>3</v>
      </c>
      <c r="B16" s="40" t="s">
        <v>13</v>
      </c>
      <c r="C16" s="38"/>
      <c r="D16" s="38"/>
      <c r="E16" s="24"/>
      <c r="F16" s="23">
        <v>0</v>
      </c>
      <c r="G16" s="21">
        <f t="shared" si="0"/>
        <v>0</v>
      </c>
      <c r="H16" s="2"/>
    </row>
    <row r="17" spans="1:8" ht="28.5" customHeight="1" x14ac:dyDescent="0.25">
      <c r="A17" s="8">
        <v>4</v>
      </c>
      <c r="B17" s="40" t="s">
        <v>14</v>
      </c>
      <c r="C17" s="38"/>
      <c r="D17" s="39"/>
      <c r="E17" s="24"/>
      <c r="F17" s="23">
        <v>0</v>
      </c>
      <c r="G17" s="21">
        <f t="shared" si="0"/>
        <v>0</v>
      </c>
      <c r="H17" s="2"/>
    </row>
    <row r="18" spans="1:8" ht="27" customHeight="1" x14ac:dyDescent="0.25">
      <c r="A18" s="8">
        <v>5</v>
      </c>
      <c r="B18" s="40" t="s">
        <v>15</v>
      </c>
      <c r="C18" s="38"/>
      <c r="D18" s="39"/>
      <c r="E18" s="24"/>
      <c r="F18" s="23">
        <v>0</v>
      </c>
      <c r="G18" s="21">
        <f t="shared" si="0"/>
        <v>0</v>
      </c>
      <c r="H18" s="2"/>
    </row>
    <row r="19" spans="1:8" ht="27.75" customHeight="1" x14ac:dyDescent="0.25">
      <c r="A19" s="8" t="s">
        <v>16</v>
      </c>
      <c r="B19" s="44" t="s">
        <v>17</v>
      </c>
      <c r="C19" s="45"/>
      <c r="D19" s="46"/>
      <c r="E19" s="24"/>
      <c r="F19" s="23">
        <v>0</v>
      </c>
      <c r="G19" s="21">
        <f t="shared" si="0"/>
        <v>0</v>
      </c>
      <c r="H19" s="2"/>
    </row>
    <row r="20" spans="1:8" ht="22.5" customHeight="1" x14ac:dyDescent="0.25">
      <c r="A20" s="8" t="s">
        <v>18</v>
      </c>
      <c r="B20" s="44" t="s">
        <v>19</v>
      </c>
      <c r="C20" s="45"/>
      <c r="D20" s="46"/>
      <c r="E20" s="24"/>
      <c r="F20" s="23">
        <v>0</v>
      </c>
      <c r="G20" s="21">
        <f t="shared" si="0"/>
        <v>0</v>
      </c>
      <c r="H20" s="2"/>
    </row>
    <row r="21" spans="1:8" ht="27.75" customHeight="1" x14ac:dyDescent="0.25">
      <c r="A21" s="8" t="s">
        <v>20</v>
      </c>
      <c r="B21" s="44" t="s">
        <v>21</v>
      </c>
      <c r="C21" s="45"/>
      <c r="D21" s="46"/>
      <c r="E21" s="25"/>
      <c r="F21" s="23">
        <v>0</v>
      </c>
      <c r="G21" s="21">
        <f t="shared" si="0"/>
        <v>0</v>
      </c>
      <c r="H21" s="2"/>
    </row>
    <row r="22" spans="1:8" ht="34.5" customHeight="1" x14ac:dyDescent="0.25">
      <c r="A22" s="8">
        <v>6</v>
      </c>
      <c r="B22" s="37" t="s">
        <v>41</v>
      </c>
      <c r="C22" s="38"/>
      <c r="D22" s="39"/>
      <c r="E22" s="33" t="s">
        <v>29</v>
      </c>
      <c r="F22" s="23">
        <v>0</v>
      </c>
      <c r="G22" s="21">
        <f>F22</f>
        <v>0</v>
      </c>
      <c r="H22" s="2"/>
    </row>
    <row r="23" spans="1:8" ht="23.25" customHeight="1" x14ac:dyDescent="0.25">
      <c r="A23" s="8">
        <v>7</v>
      </c>
      <c r="B23" s="40" t="s">
        <v>22</v>
      </c>
      <c r="C23" s="38"/>
      <c r="D23" s="39"/>
      <c r="E23" s="24"/>
      <c r="F23" s="23">
        <v>0</v>
      </c>
      <c r="G23" s="21">
        <f t="shared" si="0"/>
        <v>0</v>
      </c>
      <c r="H23" s="2"/>
    </row>
    <row r="24" spans="1:8" ht="26.25" customHeight="1" x14ac:dyDescent="0.25">
      <c r="A24" s="20">
        <v>8</v>
      </c>
      <c r="B24" s="37" t="s">
        <v>23</v>
      </c>
      <c r="C24" s="38"/>
      <c r="D24" s="39"/>
      <c r="E24" s="24"/>
      <c r="F24" s="23">
        <v>0</v>
      </c>
      <c r="G24" s="21">
        <f t="shared" si="0"/>
        <v>0</v>
      </c>
      <c r="H24" s="2"/>
    </row>
    <row r="25" spans="1:8" ht="29.25" customHeight="1" x14ac:dyDescent="0.25">
      <c r="A25" s="20">
        <v>9</v>
      </c>
      <c r="B25" s="41" t="s">
        <v>24</v>
      </c>
      <c r="C25" s="42"/>
      <c r="D25" s="43"/>
      <c r="E25" s="24"/>
      <c r="F25" s="23">
        <v>0</v>
      </c>
      <c r="G25" s="21">
        <f t="shared" si="0"/>
        <v>0</v>
      </c>
      <c r="H25" s="2"/>
    </row>
    <row r="26" spans="1:8" ht="22.5" customHeight="1" x14ac:dyDescent="0.25">
      <c r="A26" s="65"/>
      <c r="B26" s="65"/>
      <c r="C26" s="65"/>
      <c r="D26" s="65"/>
      <c r="E26" s="65"/>
      <c r="F26" s="65"/>
      <c r="G26" s="65"/>
      <c r="H26" s="2"/>
    </row>
    <row r="27" spans="1:8" ht="26.25" customHeight="1" x14ac:dyDescent="0.25">
      <c r="A27" s="19" t="s">
        <v>5</v>
      </c>
      <c r="B27" s="62" t="s">
        <v>6</v>
      </c>
      <c r="C27" s="63"/>
      <c r="D27" s="64"/>
      <c r="E27" s="19" t="s">
        <v>25</v>
      </c>
      <c r="F27" s="19" t="s">
        <v>26</v>
      </c>
      <c r="G27" s="14" t="s">
        <v>27</v>
      </c>
      <c r="H27" s="2"/>
    </row>
    <row r="28" spans="1:8" ht="36.75" customHeight="1" x14ac:dyDescent="0.25">
      <c r="A28" s="8">
        <v>10</v>
      </c>
      <c r="B28" s="66" t="s">
        <v>28</v>
      </c>
      <c r="C28" s="66"/>
      <c r="D28" s="66"/>
      <c r="E28" s="13" t="s">
        <v>29</v>
      </c>
      <c r="F28" s="23">
        <v>0</v>
      </c>
      <c r="G28" s="22"/>
      <c r="H28" s="2"/>
    </row>
    <row r="29" spans="1:8" ht="29.25" customHeight="1" x14ac:dyDescent="0.25">
      <c r="A29" s="65"/>
      <c r="B29" s="65"/>
      <c r="C29" s="65"/>
      <c r="D29" s="65"/>
      <c r="E29" s="65"/>
      <c r="F29" s="65"/>
      <c r="G29" s="65"/>
      <c r="H29" s="2"/>
    </row>
    <row r="30" spans="1:8" ht="42" customHeight="1" x14ac:dyDescent="0.25">
      <c r="A30" s="18" t="s">
        <v>5</v>
      </c>
      <c r="B30" s="62" t="s">
        <v>6</v>
      </c>
      <c r="C30" s="63"/>
      <c r="D30" s="64"/>
      <c r="E30" s="17" t="s">
        <v>30</v>
      </c>
      <c r="F30" s="17" t="s">
        <v>31</v>
      </c>
      <c r="G30" s="17" t="s">
        <v>32</v>
      </c>
      <c r="H30" s="2"/>
    </row>
    <row r="31" spans="1:8" ht="54.75" customHeight="1" x14ac:dyDescent="0.25">
      <c r="A31" s="7">
        <v>11</v>
      </c>
      <c r="B31" s="40" t="s">
        <v>45</v>
      </c>
      <c r="C31" s="38"/>
      <c r="D31" s="39"/>
      <c r="E31" s="23">
        <v>0</v>
      </c>
      <c r="F31" s="21">
        <f>E31*100</f>
        <v>0</v>
      </c>
      <c r="G31" s="21">
        <f>F31*4</f>
        <v>0</v>
      </c>
      <c r="H31" s="2"/>
    </row>
    <row r="32" spans="1:8" ht="66" customHeight="1" x14ac:dyDescent="0.25">
      <c r="A32" s="7">
        <v>12</v>
      </c>
      <c r="B32" s="37" t="s">
        <v>33</v>
      </c>
      <c r="C32" s="38"/>
      <c r="D32" s="39"/>
      <c r="E32" s="23">
        <v>0</v>
      </c>
      <c r="F32" s="21">
        <f>E32*300</f>
        <v>0</v>
      </c>
      <c r="G32" s="21">
        <f>F32*4</f>
        <v>0</v>
      </c>
      <c r="H32" s="2"/>
    </row>
    <row r="33" spans="1:8" ht="21" customHeight="1" x14ac:dyDescent="0.25">
      <c r="A33" s="2"/>
      <c r="B33" s="2"/>
      <c r="C33" s="2"/>
      <c r="D33" s="2"/>
      <c r="E33" s="2"/>
      <c r="F33" s="9"/>
      <c r="G33" s="2"/>
      <c r="H33" s="2"/>
    </row>
    <row r="34" spans="1:8" ht="45.75" customHeight="1" x14ac:dyDescent="0.25">
      <c r="A34" s="10"/>
      <c r="B34" s="2"/>
      <c r="C34" s="26" t="s">
        <v>34</v>
      </c>
      <c r="D34" s="56" t="s">
        <v>35</v>
      </c>
      <c r="E34" s="57"/>
      <c r="F34" s="58"/>
      <c r="G34" s="28">
        <f>SUM(G14:G25,G28,G31:G32)</f>
        <v>0</v>
      </c>
      <c r="H34" s="2"/>
    </row>
    <row r="35" spans="1:8" ht="33.75" customHeight="1" x14ac:dyDescent="0.25">
      <c r="A35" s="10"/>
      <c r="B35" s="2"/>
      <c r="C35" s="27"/>
      <c r="D35" s="59" t="s">
        <v>36</v>
      </c>
      <c r="E35" s="60"/>
      <c r="F35" s="61"/>
      <c r="G35" s="28">
        <f>G34*0.19</f>
        <v>0</v>
      </c>
      <c r="H35" s="2"/>
    </row>
    <row r="36" spans="1:8" ht="43.5" customHeight="1" x14ac:dyDescent="0.25">
      <c r="A36" s="10"/>
      <c r="B36" s="11"/>
      <c r="C36" s="29" t="s">
        <v>34</v>
      </c>
      <c r="D36" s="53" t="s">
        <v>37</v>
      </c>
      <c r="E36" s="54"/>
      <c r="F36" s="55"/>
      <c r="G36" s="30">
        <f>SUM(G34:G35)</f>
        <v>0</v>
      </c>
      <c r="H36" s="2"/>
    </row>
    <row r="37" spans="1:8" ht="35.25" customHeight="1" x14ac:dyDescent="0.25">
      <c r="A37" s="10"/>
      <c r="B37" s="2" t="s">
        <v>44</v>
      </c>
      <c r="C37" s="2"/>
      <c r="D37" s="2"/>
      <c r="E37" s="2"/>
      <c r="F37" s="2"/>
      <c r="G37" s="2"/>
      <c r="H37" s="2"/>
    </row>
    <row r="38" spans="1:8" x14ac:dyDescent="0.25">
      <c r="A38" s="2" t="s">
        <v>38</v>
      </c>
      <c r="B38" s="2" t="s">
        <v>46</v>
      </c>
      <c r="C38" s="2"/>
      <c r="D38" s="2"/>
      <c r="E38" s="2"/>
      <c r="F38" s="2"/>
      <c r="G38" s="2"/>
      <c r="H38" s="2"/>
    </row>
    <row r="39" spans="1:8" x14ac:dyDescent="0.25">
      <c r="A39" s="2"/>
      <c r="B39" s="2" t="s">
        <v>43</v>
      </c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5"/>
      <c r="C42" s="31"/>
      <c r="D42" s="31"/>
      <c r="E42" s="5"/>
      <c r="F42" s="5"/>
      <c r="G42" s="32"/>
      <c r="H42" s="2"/>
    </row>
    <row r="43" spans="1:8" x14ac:dyDescent="0.25">
      <c r="A43" s="12"/>
      <c r="B43" s="12" t="s">
        <v>39</v>
      </c>
      <c r="C43" s="12"/>
      <c r="D43" s="12"/>
      <c r="E43" s="12" t="s">
        <v>40</v>
      </c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</sheetData>
  <sheetProtection algorithmName="SHA-512" hashValue="WZjcZ+jBI0CD7gM6l9zxKAjhfww2szoINwebHDUP3UH2bvNYro/8jTGJyYbUN8ORbfzH3ea/Sso/xiDJe6GN6g==" saltValue="wYPut0kBlU2SshRoXo8Wxg==" spinCount="100000" sheet="1" formatCells="0" formatColumns="0" formatRows="0" insertColumns="0" insertRows="0" insertHyperlinks="0" deleteColumns="0" deleteRows="0" sort="0" autoFilter="0" pivotTables="0"/>
  <mergeCells count="26">
    <mergeCell ref="D36:F36"/>
    <mergeCell ref="B24:D24"/>
    <mergeCell ref="D34:F34"/>
    <mergeCell ref="D35:F35"/>
    <mergeCell ref="B30:D30"/>
    <mergeCell ref="B32:D32"/>
    <mergeCell ref="A29:G29"/>
    <mergeCell ref="B28:D28"/>
    <mergeCell ref="B27:D27"/>
    <mergeCell ref="B31:D31"/>
    <mergeCell ref="A26:G26"/>
    <mergeCell ref="A5:E5"/>
    <mergeCell ref="A2:H2"/>
    <mergeCell ref="A7:H7"/>
    <mergeCell ref="B13:D13"/>
    <mergeCell ref="B14:D14"/>
    <mergeCell ref="B15:D15"/>
    <mergeCell ref="B22:D22"/>
    <mergeCell ref="B23:D23"/>
    <mergeCell ref="B25:D25"/>
    <mergeCell ref="B16:D16"/>
    <mergeCell ref="B18:D18"/>
    <mergeCell ref="B17:D17"/>
    <mergeCell ref="B19:D19"/>
    <mergeCell ref="B20:D20"/>
    <mergeCell ref="B21:D21"/>
  </mergeCells>
  <phoneticPr fontId="2" type="noConversion"/>
  <pageMargins left="0.25" right="0.25" top="0.75" bottom="0.75" header="0.3" footer="0.3"/>
  <pageSetup paperSize="9" orientation="landscape" r:id="rId1"/>
  <headerFooter>
    <oddHeader>&amp;L&amp;"Arial,Standard"&amp;10Friedenstein Stiftung Gotha
&amp;C&amp;"Arial,Fett"&amp;10Preisblatt - Anlage 3&amp;"Arial,Standard"
&amp;R&amp;"Arial,Standard"&amp;10Vergabe-Nr.: EU-VV-OF-25-400   
Projekt: Open Friedenstein!</oddHeader>
    <oddFooter>Seite &amp;P von &amp;N</oddFooter>
  </headerFooter>
  <ignoredErrors>
    <ignoredError sqref="A14:A15" numberStoredAsText="1"/>
    <ignoredError sqref="G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Preisblatt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Josefine Frank</dc:creator>
  <cp:keywords/>
  <dc:description/>
  <cp:lastModifiedBy>Jana Trümper</cp:lastModifiedBy>
  <cp:revision/>
  <dcterms:created xsi:type="dcterms:W3CDTF">2022-05-09T14:52:39Z</dcterms:created>
  <dcterms:modified xsi:type="dcterms:W3CDTF">2025-01-28T12:48:57Z</dcterms:modified>
  <cp:category/>
  <cp:contentStatus/>
</cp:coreProperties>
</file>